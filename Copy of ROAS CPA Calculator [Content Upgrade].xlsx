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Breakdown" sheetId="1" r:id="rId5"/>
    <sheet state="visible" name="ROAS, CPA, Profit" sheetId="2" r:id="rId6"/>
  </sheets>
  <definedNames/>
  <calcPr/>
</workbook>
</file>

<file path=xl/sharedStrings.xml><?xml version="1.0" encoding="utf-8"?>
<sst xmlns="http://schemas.openxmlformats.org/spreadsheetml/2006/main" count="32" uniqueCount="32">
  <si>
    <t>Costs &amp; Profit numbers</t>
  </si>
  <si>
    <t>Ad Spend per month</t>
  </si>
  <si>
    <t>Notes</t>
  </si>
  <si>
    <t>Average Order Value</t>
  </si>
  <si>
    <t>Revenue from Ads</t>
  </si>
  <si>
    <t>Dec/20 average</t>
  </si>
  <si>
    <t>Blended COGS</t>
  </si>
  <si>
    <t xml:space="preserve">Cost Of Goods </t>
  </si>
  <si>
    <r>
      <rPr>
        <rFont val="Roboto"/>
        <i/>
        <color rgb="FF000000"/>
        <sz val="11.0"/>
      </rPr>
      <t xml:space="preserve">COST OF GOODS </t>
    </r>
    <r>
      <rPr>
        <rFont val="Roboto"/>
        <i val="0"/>
        <color rgb="FF000000"/>
        <sz val="8.0"/>
      </rPr>
      <t>(Average across SKU's)</t>
    </r>
  </si>
  <si>
    <t>PAYMENT PROCESSING FEES</t>
  </si>
  <si>
    <r>
      <rPr>
        <rFont val="Roboto"/>
        <i/>
        <color rgb="FF000000"/>
        <sz val="11.0"/>
      </rPr>
      <t xml:space="preserve">SHIPPING COSTS </t>
    </r>
    <r>
      <rPr>
        <rFont val="Roboto"/>
        <i val="0"/>
        <color rgb="FF000000"/>
        <sz val="8.0"/>
      </rPr>
      <t>(Adjust for Free Shipping Offers)</t>
    </r>
  </si>
  <si>
    <t>FULLFILLMENT COST PER UNIT</t>
  </si>
  <si>
    <t>Discount - £ OFF</t>
  </si>
  <si>
    <r>
      <rPr>
        <rFont val="Roboto"/>
        <i/>
        <color rgb="FF000000"/>
        <sz val="11.0"/>
      </rPr>
      <t xml:space="preserve">Discount - % OFF </t>
    </r>
    <r>
      <rPr>
        <rFont val="Roboto"/>
        <i val="0"/>
        <color rgb="FF000000"/>
        <sz val="8.0"/>
      </rPr>
      <t>(Enter as "XX%")</t>
    </r>
  </si>
  <si>
    <t>Incl. Free Gft cost</t>
  </si>
  <si>
    <t>Gross Profit</t>
  </si>
  <si>
    <t>TOTAL COSTS OF PRODUCT &amp; TO FULFILL</t>
  </si>
  <si>
    <t>Payment Processing Fees</t>
  </si>
  <si>
    <t>Net Profit</t>
  </si>
  <si>
    <t>Profit Percentage</t>
  </si>
  <si>
    <r>
      <rPr>
        <rFont val="Roboto"/>
        <b/>
        <color rgb="FF000000"/>
        <sz val="11.0"/>
      </rPr>
      <t xml:space="preserve">Break Even ROAS </t>
    </r>
    <r>
      <rPr>
        <rFont val="Roboto"/>
        <b/>
        <color rgb="FF000000"/>
        <sz val="8.0"/>
      </rPr>
      <t>(Return on ad spend)</t>
    </r>
  </si>
  <si>
    <t>Shipping Fees</t>
  </si>
  <si>
    <t>Fullfillment Fees</t>
  </si>
  <si>
    <t>Discount (£ Off)</t>
  </si>
  <si>
    <t>Discount (% Off)</t>
  </si>
  <si>
    <t>Free Gift cost (£)</t>
  </si>
  <si>
    <t>Ad Spend</t>
  </si>
  <si>
    <t>ROAS</t>
  </si>
  <si>
    <t>Profit</t>
  </si>
  <si>
    <t>AOV</t>
  </si>
  <si>
    <t>Transactions</t>
  </si>
  <si>
    <t>CPA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</si>
</sst>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[$£]#,##0.00"/>
    <numFmt numFmtId="166" formatCode="&quot;$&quot;#,##0.00&quot; &quot;;(&quot;$&quot;#,##0.00)"/>
    <numFmt numFmtId="167" formatCode="[$£-809]#,##0.00"/>
    <numFmt numFmtId="168" formatCode="&quot;$&quot;#,##0.00"/>
  </numFmts>
  <fonts count="15">
    <font>
      <sz val="10.0"/>
      <color rgb="FF000000"/>
      <name val="Calibri"/>
      <scheme val="minor"/>
    </font>
    <font>
      <b/>
      <sz val="11.0"/>
      <color rgb="FFFFFFFF"/>
      <name val="Roboto"/>
    </font>
    <font>
      <b/>
      <sz val="11.0"/>
      <color rgb="FF000000"/>
      <name val="Roboto"/>
    </font>
    <font>
      <sz val="11.0"/>
      <color rgb="FF000000"/>
      <name val="Roboto"/>
    </font>
    <font>
      <sz val="11.0"/>
      <color rgb="FF09091A"/>
      <name val="Roboto"/>
    </font>
    <font>
      <sz val="11.0"/>
      <color rgb="FFFFFFFF"/>
      <name val="Roboto"/>
    </font>
    <font>
      <b/>
      <sz val="11.0"/>
      <color rgb="FFFA4D4D"/>
      <name val="Roboto"/>
    </font>
    <font>
      <i/>
      <sz val="11.0"/>
      <color rgb="FF000000"/>
      <name val="Roboto"/>
    </font>
    <font>
      <sz val="11.0"/>
      <color rgb="FFFA4D4D"/>
      <name val="Roboto"/>
    </font>
    <font>
      <sz val="11.0"/>
      <color rgb="FF783F04"/>
      <name val="Roboto"/>
    </font>
    <font>
      <b/>
      <sz val="11.0"/>
      <color rgb="FF008000"/>
      <name val="Roboto"/>
    </font>
    <font>
      <sz val="11.0"/>
      <color rgb="FF008000"/>
      <name val="Roboto"/>
    </font>
    <font>
      <b/>
      <sz val="11.0"/>
      <color rgb="FF09091A"/>
      <name val="Roboto"/>
    </font>
    <font>
      <sz val="11.0"/>
      <color rgb="FFFC231F"/>
      <name val="Roboto"/>
    </font>
    <font>
      <sz val="11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D952"/>
        <bgColor rgb="FFF8D95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FFFFFF"/>
      </left>
      <right style="thin">
        <color rgb="FFFFFFFF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wrapText="0"/>
    </xf>
    <xf borderId="1" fillId="2" fontId="1" numFmtId="49" xfId="0" applyAlignment="1" applyBorder="1" applyFill="1" applyFont="1" applyNumberFormat="1">
      <alignment horizontal="center" shrinkToFit="0" wrapText="0"/>
    </xf>
    <xf borderId="1" fillId="2" fontId="1" numFmtId="164" xfId="0" applyAlignment="1" applyBorder="1" applyFill="1" applyFont="1" applyNumberFormat="1">
      <alignment horizontal="left" shrinkToFit="0" vertical="center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1" fillId="2" fontId="1" numFmtId="165" xfId="0" applyAlignment="1" applyBorder="1" applyFill="1" applyFont="1" applyNumberFormat="1">
      <alignment horizontal="right" shrinkToFit="0" vertical="center" wrapText="0"/>
    </xf>
    <xf borderId="1" fillId="0" fontId="2" numFmtId="0" xfId="0" applyAlignment="1" applyBorder="1" applyFont="1">
      <alignment shrinkToFit="0" wrapText="0"/>
    </xf>
    <xf borderId="1" fillId="3" fontId="3" numFmtId="165" xfId="0" applyAlignment="1" applyBorder="1" applyFill="1" applyFont="1" applyNumberFormat="1">
      <alignment horizontal="center" readingOrder="0" shrinkToFit="0" vertical="center" wrapText="0"/>
    </xf>
    <xf borderId="1" fillId="4" fontId="2" numFmtId="49" xfId="0" applyAlignment="1" applyBorder="1" applyFill="1" applyFont="1" applyNumberFormat="1">
      <alignment shrinkToFit="0" vertical="center" wrapText="0"/>
    </xf>
    <xf borderId="1" fillId="0" fontId="3" numFmtId="0" xfId="0" applyAlignment="1" applyBorder="1" applyFont="1">
      <alignment horizontal="right" readingOrder="0" shrinkToFit="0" wrapText="0"/>
    </xf>
    <xf borderId="1" fillId="5" fontId="4" numFmtId="165" xfId="0" applyAlignment="1" applyBorder="1" applyFill="1" applyFont="1" applyNumberFormat="1">
      <alignment shrinkToFit="0" vertical="center" wrapText="0"/>
    </xf>
    <xf borderId="1" fillId="0" fontId="3" numFmtId="0" xfId="0" applyAlignment="1" applyBorder="1" applyFont="1">
      <alignment shrinkToFit="0" wrapText="0"/>
    </xf>
    <xf borderId="2" fillId="5" fontId="4" numFmtId="165" xfId="0" applyAlignment="1" applyBorder="1" applyFill="1" applyFont="1" applyNumberFormat="1">
      <alignment horizontal="right" vertical="center"/>
    </xf>
    <xf borderId="1" fillId="2" fontId="1" numFmtId="166" xfId="0" applyAlignment="1" applyBorder="1" applyFill="1" applyFont="1" applyNumberFormat="1">
      <alignment horizontal="center" shrinkToFit="0" vertical="center" wrapText="0"/>
    </xf>
    <xf borderId="1" fillId="2" fontId="5" numFmtId="0" xfId="0" applyAlignment="1" applyBorder="1" applyFill="1" applyFont="1">
      <alignment shrinkToFit="0" wrapText="0"/>
    </xf>
    <xf borderId="1" fillId="4" fontId="6" numFmtId="49" xfId="0" applyAlignment="1" applyBorder="1" applyFill="1" applyFont="1" applyNumberFormat="1">
      <alignment horizontal="left" shrinkToFit="0" vertical="center" wrapText="0"/>
    </xf>
    <xf borderId="1" fillId="5" fontId="7" numFmtId="49" xfId="0" applyAlignment="1" applyBorder="1" applyFill="1" applyFont="1" applyNumberFormat="1">
      <alignment shrinkToFit="0" wrapText="0"/>
    </xf>
    <xf borderId="1" fillId="5" fontId="8" numFmtId="165" xfId="0" applyAlignment="1" applyBorder="1" applyFill="1" applyFont="1" applyNumberFormat="1">
      <alignment shrinkToFit="0" vertical="center" wrapText="0"/>
    </xf>
    <xf borderId="1" fillId="0" fontId="3" numFmtId="10" xfId="0" applyAlignment="1" applyBorder="1" applyFont="1" applyNumberFormat="1">
      <alignment shrinkToFit="0" wrapText="0"/>
    </xf>
    <xf borderId="2" fillId="5" fontId="8" numFmtId="165" xfId="0" applyAlignment="1" applyBorder="1" applyFill="1" applyFont="1" applyNumberFormat="1">
      <alignment horizontal="right" vertical="center"/>
    </xf>
    <xf borderId="1" fillId="3" fontId="9" numFmtId="165" xfId="0" applyAlignment="1" applyBorder="1" applyFill="1" applyFont="1" applyNumberFormat="1">
      <alignment horizontal="center" readingOrder="0" shrinkToFit="0" vertical="center" wrapText="0"/>
    </xf>
    <xf borderId="1" fillId="3" fontId="9" numFmtId="9" xfId="0" applyAlignment="1" applyBorder="1" applyFill="1" applyFont="1" applyNumberFormat="1">
      <alignment horizontal="center" readingOrder="0" shrinkToFit="0" vertical="center" wrapText="0"/>
    </xf>
    <xf borderId="1" fillId="3" fontId="9" numFmtId="165" xfId="0" applyAlignment="1" applyBorder="1" applyFill="1" applyFont="1" applyNumberFormat="1">
      <alignment horizontal="center" shrinkToFit="0" vertical="center" wrapText="0"/>
    </xf>
    <xf borderId="1" fillId="4" fontId="10" numFmtId="49" xfId="0" applyAlignment="1" applyBorder="1" applyFill="1" applyFont="1" applyNumberFormat="1">
      <alignment shrinkToFit="0" vertical="center" wrapText="0"/>
    </xf>
    <xf borderId="3" fillId="5" fontId="3" numFmtId="49" xfId="0" applyAlignment="1" applyBorder="1" applyFill="1" applyFont="1" applyNumberFormat="1">
      <alignment shrinkToFit="0" wrapText="0"/>
    </xf>
    <xf borderId="4" fillId="5" fontId="3" numFmtId="166" xfId="0" applyAlignment="1" applyBorder="1" applyFill="1" applyFont="1" applyNumberFormat="1">
      <alignment horizontal="center" shrinkToFit="0" vertical="center" wrapText="0"/>
    </xf>
    <xf borderId="1" fillId="6" fontId="2" numFmtId="49" xfId="0" applyAlignment="1" applyBorder="1" applyFill="1" applyFont="1" applyNumberFormat="1">
      <alignment shrinkToFit="0" wrapText="0"/>
    </xf>
    <xf borderId="1" fillId="5" fontId="11" numFmtId="165" xfId="0" applyAlignment="1" applyBorder="1" applyFill="1" applyFont="1" applyNumberFormat="1">
      <alignment shrinkToFit="0" vertical="center" wrapText="0"/>
    </xf>
    <xf borderId="2" fillId="5" fontId="11" numFmtId="165" xfId="0" applyAlignment="1" applyBorder="1" applyFill="1" applyFont="1" applyNumberFormat="1">
      <alignment horizontal="right" vertical="center"/>
    </xf>
    <xf borderId="1" fillId="3" fontId="2" numFmtId="165" xfId="0" applyAlignment="1" applyBorder="1" applyFill="1" applyFont="1" applyNumberFormat="1">
      <alignment horizontal="center" shrinkToFit="0" vertical="center" wrapText="0"/>
    </xf>
    <xf borderId="1" fillId="4" fontId="6" numFmtId="49" xfId="0" applyAlignment="1" applyBorder="1" applyFill="1" applyFont="1" applyNumberFormat="1">
      <alignment shrinkToFit="0" vertical="center" wrapText="0"/>
    </xf>
    <xf borderId="4" fillId="5" fontId="3" numFmtId="10" xfId="0" applyAlignment="1" applyBorder="1" applyFill="1" applyFont="1" applyNumberFormat="1">
      <alignment horizontal="center" shrinkToFit="0" vertical="center" wrapText="0"/>
    </xf>
    <xf borderId="1" fillId="6" fontId="2" numFmtId="49" xfId="0" applyAlignment="1" applyBorder="1" applyFill="1" applyFont="1" applyNumberFormat="1">
      <alignment readingOrder="0" shrinkToFit="0" wrapText="0"/>
    </xf>
    <xf borderId="1" fillId="3" fontId="2" numFmtId="167" xfId="0" applyAlignment="1" applyBorder="1" applyFill="1" applyFont="1" applyNumberFormat="1">
      <alignment horizontal="center" readingOrder="0" shrinkToFit="0" vertical="center" wrapText="0"/>
    </xf>
    <xf borderId="1" fillId="3" fontId="2" numFmtId="10" xfId="0" applyAlignment="1" applyBorder="1" applyFill="1" applyFont="1" applyNumberFormat="1">
      <alignment horizontal="center" readingOrder="0" shrinkToFit="0" vertical="center" wrapText="0"/>
    </xf>
    <xf borderId="1" fillId="3" fontId="2" numFmtId="2" xfId="0" applyAlignment="1" applyBorder="1" applyFill="1" applyFont="1" applyNumberFormat="1">
      <alignment horizontal="center" readingOrder="0" shrinkToFit="0" vertical="center" wrapText="0"/>
    </xf>
    <xf borderId="1" fillId="6" fontId="2" numFmtId="49" xfId="0" applyAlignment="1" applyBorder="1" applyFill="1" applyFont="1" applyNumberFormat="1">
      <alignment shrinkToFit="0" vertical="center" wrapText="0"/>
    </xf>
    <xf borderId="5" fillId="6" fontId="2" numFmtId="49" xfId="0" applyAlignment="1" applyBorder="1" applyFill="1" applyFont="1" applyNumberFormat="1">
      <alignment shrinkToFit="0" vertical="center" wrapText="0"/>
    </xf>
    <xf borderId="1" fillId="3" fontId="12" numFmtId="165" xfId="0" applyAlignment="1" applyBorder="1" applyFill="1" applyFont="1" applyNumberFormat="1">
      <alignment shrinkToFit="0" vertical="center" wrapText="0"/>
    </xf>
    <xf borderId="2" fillId="3" fontId="12" numFmtId="165" xfId="0" applyAlignment="1" applyBorder="1" applyFill="1" applyFont="1" applyNumberFormat="1">
      <alignment horizontal="right" vertical="center"/>
    </xf>
    <xf borderId="6" fillId="3" fontId="2" numFmtId="4" xfId="0" applyAlignment="1" applyBorder="1" applyFill="1" applyFont="1" applyNumberFormat="1">
      <alignment shrinkToFit="0" vertical="center" wrapText="0"/>
    </xf>
    <xf borderId="7" fillId="3" fontId="12" numFmtId="4" xfId="0" applyAlignment="1" applyBorder="1" applyFill="1" applyFont="1" applyNumberFormat="1">
      <alignment readingOrder="0" shrinkToFit="0" vertical="center" wrapText="0"/>
    </xf>
    <xf borderId="1" fillId="3" fontId="12" numFmtId="4" xfId="0" applyAlignment="1" applyBorder="1" applyFill="1" applyFont="1" applyNumberFormat="1">
      <alignment readingOrder="0"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1" fillId="4" fontId="13" numFmtId="168" xfId="0" applyAlignment="1" applyBorder="1" applyFill="1" applyFont="1" applyNumberFormat="1">
      <alignment shrinkToFit="0" vertical="center" wrapText="0"/>
    </xf>
    <xf borderId="1" fillId="5" fontId="2" numFmtId="0" xfId="0" applyAlignment="1" applyBorder="1" applyFill="1" applyFont="1">
      <alignment shrinkToFit="0" vertical="center" wrapText="0"/>
    </xf>
    <xf borderId="1" fillId="5" fontId="2" numFmtId="165" xfId="0" applyAlignment="1" applyBorder="1" applyFill="1" applyFont="1" applyNumberFormat="1">
      <alignment shrinkToFit="0" vertical="center" wrapText="0"/>
    </xf>
    <xf borderId="1" fillId="4" fontId="3" numFmtId="165" xfId="0" applyAlignment="1" applyBorder="1" applyFill="1" applyFont="1" applyNumberFormat="1">
      <alignment shrinkToFit="0" vertical="center" wrapText="0"/>
    </xf>
    <xf borderId="2" fillId="4" fontId="14" numFmtId="165" xfId="0" applyAlignment="1" applyBorder="1" applyFill="1" applyFont="1" applyNumberFormat="1">
      <alignment vertical="center"/>
    </xf>
    <xf borderId="1" fillId="5" fontId="2" numFmtId="168" xfId="0" applyAlignment="1" applyBorder="1" applyFill="1" applyFont="1" applyNumberFormat="1">
      <alignment shrinkToFit="0" vertical="center" wrapText="0"/>
    </xf>
    <xf borderId="1" fillId="5" fontId="3" numFmtId="165" xfId="0" applyAlignment="1" applyBorder="1" applyFill="1" applyFont="1" applyNumberFormat="1">
      <alignment shrinkToFit="0" vertical="center" wrapText="0"/>
    </xf>
    <xf borderId="2" fillId="5" fontId="3" numFmtId="165" xfId="0" applyAlignment="1" applyBorder="1" applyFill="1" applyFont="1" applyNumberFormat="1">
      <alignment horizontal="right" vertical="center"/>
    </xf>
    <xf borderId="1" fillId="5" fontId="2" numFmtId="3" xfId="0" applyAlignment="1" applyBorder="1" applyFill="1" applyFont="1" applyNumberFormat="1">
      <alignment shrinkToFit="0" vertical="center" wrapText="0"/>
    </xf>
    <xf borderId="1" fillId="5" fontId="3" numFmtId="3" xfId="0" applyAlignment="1" applyBorder="1" applyFill="1" applyFont="1" applyNumberFormat="1">
      <alignment shrinkToFit="0" vertical="center" wrapText="0"/>
    </xf>
    <xf borderId="2" fillId="5" fontId="3" numFmtId="3" xfId="0" applyAlignment="1" applyBorder="1" applyFill="1" applyFont="1" applyNumberFormat="1">
      <alignment horizontal="right" vertical="center"/>
    </xf>
    <xf borderId="5" fillId="4" fontId="2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2" fillId="4" fontId="14" numFmtId="0" xfId="0" applyAlignment="1" applyBorder="1" applyFill="1" applyFont="1">
      <alignment vertical="center"/>
    </xf>
    <xf borderId="6" fillId="3" fontId="2" numFmtId="49" xfId="0" applyAlignment="1" applyBorder="1" applyFill="1" applyFont="1" applyNumberFormat="1">
      <alignment readingOrder="0" shrinkToFit="0" vertical="center" wrapText="0"/>
    </xf>
    <xf borderId="7" fillId="3" fontId="2" numFmtId="165" xfId="0" applyAlignment="1" applyBorder="1" applyFill="1" applyFont="1" applyNumberFormat="1">
      <alignment shrinkToFit="0" vertical="center" wrapText="0"/>
    </xf>
    <xf borderId="2" fillId="3" fontId="2" numFmtId="165" xfId="0" applyAlignment="1" applyBorder="1" applyFill="1" applyFont="1" applyNumberFormat="1">
      <alignment horizontal="right" vertical="center"/>
    </xf>
    <xf borderId="1" fillId="3" fontId="2" numFmtId="165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alignment shrinkToFit="0" wrapText="0"/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29"/>
    <col customWidth="1" min="2" max="2" width="28.71"/>
    <col customWidth="1" min="3" max="3" width="57.29"/>
  </cols>
  <sheetData>
    <row r="1" ht="15.0" customHeight="1">
      <c r="A1" s="1"/>
      <c r="B1" s="2" t="s">
        <v>0</v>
      </c>
      <c r="C1" s="4" t="s">
        <v>2</v>
      </c>
    </row>
    <row r="2" ht="15.0" customHeight="1">
      <c r="A2" s="6" t="s">
        <v>3</v>
      </c>
      <c r="B2" s="7">
        <v>100.0</v>
      </c>
      <c r="C2" s="9" t="s">
        <v>5</v>
      </c>
    </row>
    <row r="3" ht="15.0" customHeight="1">
      <c r="A3" s="11"/>
      <c r="B3" s="11"/>
      <c r="C3" s="11"/>
    </row>
    <row r="4" ht="15.0" customHeight="1">
      <c r="A4" s="1" t="s">
        <v>6</v>
      </c>
      <c r="B4" s="13"/>
      <c r="C4" s="14"/>
    </row>
    <row r="5" ht="15.0" customHeight="1">
      <c r="A5" s="16" t="s">
        <v>8</v>
      </c>
      <c r="B5" s="7">
        <v>5.0</v>
      </c>
      <c r="C5" s="18">
        <f t="shared" ref="C5:C9" si="1">B5/$B$2</f>
        <v>0.05</v>
      </c>
    </row>
    <row r="6" ht="15.0" customHeight="1">
      <c r="A6" s="16" t="s">
        <v>9</v>
      </c>
      <c r="B6" s="7">
        <v>1.59</v>
      </c>
      <c r="C6" s="18">
        <f t="shared" si="1"/>
        <v>0.0159</v>
      </c>
    </row>
    <row r="7" ht="15.0" customHeight="1">
      <c r="A7" s="16" t="s">
        <v>10</v>
      </c>
      <c r="B7" s="7">
        <v>2.32</v>
      </c>
      <c r="C7" s="18">
        <f t="shared" si="1"/>
        <v>0.0232</v>
      </c>
    </row>
    <row r="8" ht="15.0" customHeight="1">
      <c r="A8" s="16" t="s">
        <v>11</v>
      </c>
      <c r="B8" s="7">
        <v>2.4</v>
      </c>
      <c r="C8" s="18">
        <f t="shared" si="1"/>
        <v>0.024</v>
      </c>
    </row>
    <row r="9" ht="15.0" customHeight="1">
      <c r="A9" s="16" t="s">
        <v>12</v>
      </c>
      <c r="B9" s="20">
        <v>10.0</v>
      </c>
      <c r="C9" s="18">
        <f t="shared" si="1"/>
        <v>0.1</v>
      </c>
    </row>
    <row r="10" ht="15.0" customHeight="1">
      <c r="A10" s="16" t="s">
        <v>13</v>
      </c>
      <c r="B10" s="21">
        <v>0.1</v>
      </c>
      <c r="C10" s="18">
        <f>B10</f>
        <v>0.1</v>
      </c>
    </row>
    <row r="11" ht="15.0" customHeight="1">
      <c r="A11" s="16" t="s">
        <v>14</v>
      </c>
      <c r="B11" s="22">
        <v>0.0</v>
      </c>
      <c r="C11" s="18">
        <f>B11/$B$2</f>
        <v>0</v>
      </c>
    </row>
    <row r="12" ht="15.0" customHeight="1">
      <c r="A12" s="24"/>
      <c r="B12" s="25"/>
      <c r="C12" s="18"/>
    </row>
    <row r="13" ht="15.0" customHeight="1">
      <c r="A13" s="26" t="s">
        <v>16</v>
      </c>
      <c r="B13" s="29">
        <f>B5+B6+B7+B8+B9+B11+(B10*B2)</f>
        <v>31.31</v>
      </c>
      <c r="C13" s="18">
        <f>B13/$B$2</f>
        <v>0.3131</v>
      </c>
    </row>
    <row r="14" ht="15.0" customHeight="1">
      <c r="A14" s="24"/>
      <c r="B14" s="31"/>
      <c r="C14" s="18"/>
    </row>
    <row r="15" ht="15.0" customHeight="1">
      <c r="A15" s="32" t="s">
        <v>18</v>
      </c>
      <c r="B15" s="33">
        <f>B2-B13</f>
        <v>68.69</v>
      </c>
      <c r="C15" s="18"/>
    </row>
    <row r="16" ht="15.0" customHeight="1">
      <c r="A16" s="32" t="s">
        <v>19</v>
      </c>
      <c r="B16" s="34">
        <f>B15/B2*1</f>
        <v>0.6869</v>
      </c>
      <c r="C16" s="18"/>
    </row>
    <row r="17" ht="15.0" customHeight="1">
      <c r="A17" s="32" t="s">
        <v>20</v>
      </c>
      <c r="B17" s="35">
        <f>1/B16</f>
        <v>1.455815985</v>
      </c>
      <c r="C17" s="18"/>
    </row>
  </sheetData>
  <conditionalFormatting sqref="B2 B4:B17">
    <cfRule type="cellIs" dxfId="0" priority="1" stopIfTrue="1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3.14"/>
    <col customWidth="1" min="2" max="8" width="16.29"/>
  </cols>
  <sheetData>
    <row r="1" ht="22.5" customHeight="1">
      <c r="A1" s="3" t="s">
        <v>1</v>
      </c>
      <c r="B1" s="5">
        <v>1000.0</v>
      </c>
      <c r="C1" s="5">
        <v>1000.0</v>
      </c>
      <c r="D1" s="5">
        <v>1000.0</v>
      </c>
      <c r="E1" s="5">
        <v>1000.0</v>
      </c>
      <c r="F1" s="5">
        <v>1000.0</v>
      </c>
      <c r="G1" s="5">
        <v>1000.0</v>
      </c>
      <c r="H1" s="5">
        <v>1000.0</v>
      </c>
    </row>
    <row r="2" ht="19.5" customHeight="1">
      <c r="A2" s="8" t="s">
        <v>4</v>
      </c>
      <c r="B2" s="10">
        <f t="shared" ref="B2:H2" si="1">B12*B11</f>
        <v>1455.815985</v>
      </c>
      <c r="C2" s="12">
        <f t="shared" si="1"/>
        <v>2000</v>
      </c>
      <c r="D2" s="10">
        <f t="shared" si="1"/>
        <v>2500</v>
      </c>
      <c r="E2" s="10">
        <f t="shared" si="1"/>
        <v>3000</v>
      </c>
      <c r="F2" s="10">
        <f t="shared" si="1"/>
        <v>3500</v>
      </c>
      <c r="G2" s="10">
        <f t="shared" si="1"/>
        <v>4000</v>
      </c>
      <c r="H2" s="10">
        <f t="shared" si="1"/>
        <v>5000</v>
      </c>
    </row>
    <row r="3" ht="19.5" customHeight="1">
      <c r="A3" s="15" t="s">
        <v>7</v>
      </c>
      <c r="B3" s="17">
        <f>B2*'Cost Breakdown'!$C$5</f>
        <v>72.79079924</v>
      </c>
      <c r="C3" s="19">
        <f>C2*'Cost Breakdown'!$C$5</f>
        <v>100</v>
      </c>
      <c r="D3" s="17">
        <f>D2*'Cost Breakdown'!$C$5</f>
        <v>125</v>
      </c>
      <c r="E3" s="17">
        <f>E2*'Cost Breakdown'!$C$5</f>
        <v>150</v>
      </c>
      <c r="F3" s="17">
        <f>F2*'Cost Breakdown'!$C$5</f>
        <v>175</v>
      </c>
      <c r="G3" s="17">
        <f>G2*'Cost Breakdown'!$C$5</f>
        <v>200</v>
      </c>
      <c r="H3" s="17">
        <f>H2*'Cost Breakdown'!$C$5</f>
        <v>250</v>
      </c>
    </row>
    <row r="4" ht="19.5" customHeight="1">
      <c r="A4" s="23" t="s">
        <v>15</v>
      </c>
      <c r="B4" s="27">
        <f t="shared" ref="B4:H4" si="2">B2-B3</f>
        <v>1383.025186</v>
      </c>
      <c r="C4" s="28">
        <f t="shared" si="2"/>
        <v>1900</v>
      </c>
      <c r="D4" s="27">
        <f t="shared" si="2"/>
        <v>2375</v>
      </c>
      <c r="E4" s="27">
        <f t="shared" si="2"/>
        <v>2850</v>
      </c>
      <c r="F4" s="27">
        <f t="shared" si="2"/>
        <v>3325</v>
      </c>
      <c r="G4" s="27">
        <f t="shared" si="2"/>
        <v>3800</v>
      </c>
      <c r="H4" s="27">
        <f t="shared" si="2"/>
        <v>4750</v>
      </c>
    </row>
    <row r="5" ht="19.5" customHeight="1">
      <c r="A5" s="30" t="s">
        <v>17</v>
      </c>
      <c r="B5" s="17">
        <f>B17*'Cost Breakdown'!$B$6</f>
        <v>23.14747416</v>
      </c>
      <c r="C5" s="17">
        <f>C17*'Cost Breakdown'!$B$6</f>
        <v>31.8</v>
      </c>
      <c r="D5" s="17">
        <f>D17*'Cost Breakdown'!$B$6</f>
        <v>39.75</v>
      </c>
      <c r="E5" s="17">
        <f>E17*'Cost Breakdown'!$B$6</f>
        <v>47.7</v>
      </c>
      <c r="F5" s="17">
        <f>F17*'Cost Breakdown'!$B$6</f>
        <v>55.65</v>
      </c>
      <c r="G5" s="17">
        <f>G17*'Cost Breakdown'!$B$6</f>
        <v>63.6</v>
      </c>
      <c r="H5" s="17">
        <f>H17*'Cost Breakdown'!$B$6</f>
        <v>79.5</v>
      </c>
    </row>
    <row r="6" ht="19.5" customHeight="1">
      <c r="A6" s="30" t="s">
        <v>21</v>
      </c>
      <c r="B6" s="17">
        <f>'Cost Breakdown'!$B$7*B17</f>
        <v>33.77493085</v>
      </c>
      <c r="C6" s="19">
        <f>'Cost Breakdown'!$B$7*C17</f>
        <v>46.4</v>
      </c>
      <c r="D6" s="17">
        <f>'Cost Breakdown'!$B$7*D17</f>
        <v>58</v>
      </c>
      <c r="E6" s="17">
        <f>'Cost Breakdown'!$B$7*E17</f>
        <v>69.6</v>
      </c>
      <c r="F6" s="17">
        <f>'Cost Breakdown'!$B$7*F17</f>
        <v>81.2</v>
      </c>
      <c r="G6" s="17">
        <f>'Cost Breakdown'!$B$7*G17</f>
        <v>92.8</v>
      </c>
      <c r="H6" s="17">
        <f>'Cost Breakdown'!$B$7*H17</f>
        <v>116</v>
      </c>
    </row>
    <row r="7" ht="19.5" customHeight="1">
      <c r="A7" s="30" t="s">
        <v>22</v>
      </c>
      <c r="B7" s="17">
        <f>'Cost Breakdown'!B8*B17</f>
        <v>34.93958364</v>
      </c>
      <c r="C7" s="19">
        <f>'Cost Breakdown'!B8*C17</f>
        <v>48</v>
      </c>
      <c r="D7" s="17">
        <f>'Cost Breakdown'!B8*D17</f>
        <v>60</v>
      </c>
      <c r="E7" s="17">
        <f>'Cost Breakdown'!B8*E17</f>
        <v>72</v>
      </c>
      <c r="F7" s="17">
        <f>'Cost Breakdown'!B8*F17</f>
        <v>84</v>
      </c>
      <c r="G7" s="17">
        <f>'Cost Breakdown'!B8*G17</f>
        <v>96</v>
      </c>
      <c r="H7" s="17">
        <f>'Cost Breakdown'!B8*H17</f>
        <v>120</v>
      </c>
    </row>
    <row r="8" ht="19.5" customHeight="1">
      <c r="A8" s="36" t="s">
        <v>23</v>
      </c>
      <c r="B8" s="10">
        <f>'Cost Breakdown'!$B$9*B17</f>
        <v>145.5815985</v>
      </c>
      <c r="C8" s="10">
        <f>'Cost Breakdown'!$B$9*C17</f>
        <v>200</v>
      </c>
      <c r="D8" s="10">
        <f>'Cost Breakdown'!$B$9*D17</f>
        <v>250</v>
      </c>
      <c r="E8" s="10">
        <f>'Cost Breakdown'!$B$9*E17</f>
        <v>300</v>
      </c>
      <c r="F8" s="10">
        <f>'Cost Breakdown'!$B$9*F17</f>
        <v>350</v>
      </c>
      <c r="G8" s="10">
        <f>'Cost Breakdown'!$B$9*G17</f>
        <v>400</v>
      </c>
      <c r="H8" s="10">
        <f>'Cost Breakdown'!$B$9*H17</f>
        <v>500</v>
      </c>
    </row>
    <row r="9" ht="19.5" customHeight="1">
      <c r="A9" s="36" t="s">
        <v>24</v>
      </c>
      <c r="B9" s="10">
        <f>B2*'Cost Breakdown'!$C$10</f>
        <v>145.5815985</v>
      </c>
      <c r="C9" s="10">
        <f>C2*'Cost Breakdown'!$C$10</f>
        <v>200</v>
      </c>
      <c r="D9" s="10">
        <f>D2*'Cost Breakdown'!$C$10</f>
        <v>250</v>
      </c>
      <c r="E9" s="10">
        <f>E2*'Cost Breakdown'!$C$10</f>
        <v>300</v>
      </c>
      <c r="F9" s="10">
        <f>F2*'Cost Breakdown'!$C$10</f>
        <v>350</v>
      </c>
      <c r="G9" s="10">
        <f>G2*'Cost Breakdown'!$C$10</f>
        <v>400</v>
      </c>
      <c r="H9" s="10">
        <f>H2*'Cost Breakdown'!$C$10</f>
        <v>500</v>
      </c>
    </row>
    <row r="10" ht="19.5" customHeight="1">
      <c r="A10" s="36" t="s">
        <v>25</v>
      </c>
      <c r="B10" s="10">
        <f>'Cost Breakdown'!$B$11*B17</f>
        <v>0</v>
      </c>
      <c r="C10" s="10">
        <f>'Cost Breakdown'!$B$11*C17</f>
        <v>0</v>
      </c>
      <c r="D10" s="10">
        <f>'Cost Breakdown'!$B$11*D17</f>
        <v>0</v>
      </c>
      <c r="E10" s="10">
        <f>'Cost Breakdown'!$B$11*E17</f>
        <v>0</v>
      </c>
      <c r="F10" s="10">
        <f>'Cost Breakdown'!$B$11*F17</f>
        <v>0</v>
      </c>
      <c r="G10" s="10">
        <f>'Cost Breakdown'!$B$11*G17</f>
        <v>0</v>
      </c>
      <c r="H10" s="10">
        <f>'Cost Breakdown'!$B$11*H17</f>
        <v>0</v>
      </c>
    </row>
    <row r="11" ht="19.5" customHeight="1">
      <c r="A11" s="37" t="s">
        <v>26</v>
      </c>
      <c r="B11" s="38">
        <f t="shared" ref="B11:H11" si="3">B1</f>
        <v>1000</v>
      </c>
      <c r="C11" s="39">
        <f t="shared" si="3"/>
        <v>1000</v>
      </c>
      <c r="D11" s="38">
        <f t="shared" si="3"/>
        <v>1000</v>
      </c>
      <c r="E11" s="38">
        <f t="shared" si="3"/>
        <v>1000</v>
      </c>
      <c r="F11" s="38">
        <f t="shared" si="3"/>
        <v>1000</v>
      </c>
      <c r="G11" s="38">
        <f t="shared" si="3"/>
        <v>1000</v>
      </c>
      <c r="H11" s="38">
        <f t="shared" si="3"/>
        <v>1000</v>
      </c>
    </row>
    <row r="12" ht="24.0" customHeight="1">
      <c r="A12" s="40" t="s">
        <v>27</v>
      </c>
      <c r="B12" s="41">
        <f>'Cost Breakdown'!B17</f>
        <v>1.455815985</v>
      </c>
      <c r="C12" s="42">
        <v>2.0</v>
      </c>
      <c r="D12" s="42">
        <v>2.5</v>
      </c>
      <c r="E12" s="42">
        <v>3.0</v>
      </c>
      <c r="F12" s="42">
        <v>3.5</v>
      </c>
      <c r="G12" s="42">
        <v>4.0</v>
      </c>
      <c r="H12" s="42">
        <v>5.0</v>
      </c>
    </row>
    <row r="13" ht="12.0" customHeight="1">
      <c r="A13" s="43"/>
      <c r="B13" s="44"/>
      <c r="C13" s="44"/>
      <c r="D13" s="44"/>
      <c r="E13" s="44"/>
      <c r="F13" s="44"/>
      <c r="G13" s="44"/>
      <c r="H13" s="44"/>
    </row>
    <row r="14" ht="19.5" customHeight="1">
      <c r="A14" s="45" t="s">
        <v>28</v>
      </c>
      <c r="B14" s="46">
        <f t="shared" ref="B14:H14" si="4">B4-B5-B6-B7-B8-B9-B10-B11</f>
        <v>0</v>
      </c>
      <c r="C14" s="46">
        <f t="shared" si="4"/>
        <v>373.8</v>
      </c>
      <c r="D14" s="46">
        <f t="shared" si="4"/>
        <v>717.25</v>
      </c>
      <c r="E14" s="46">
        <f t="shared" si="4"/>
        <v>1060.7</v>
      </c>
      <c r="F14" s="46">
        <f t="shared" si="4"/>
        <v>1404.15</v>
      </c>
      <c r="G14" s="46">
        <f t="shared" si="4"/>
        <v>1747.6</v>
      </c>
      <c r="H14" s="46">
        <f t="shared" si="4"/>
        <v>2434.5</v>
      </c>
    </row>
    <row r="15" ht="12.0" customHeight="1">
      <c r="A15" s="43"/>
      <c r="B15" s="47"/>
      <c r="C15" s="48"/>
      <c r="D15" s="47"/>
      <c r="E15" s="47"/>
      <c r="F15" s="47"/>
      <c r="G15" s="47"/>
      <c r="H15" s="47"/>
    </row>
    <row r="16" ht="19.5" customHeight="1">
      <c r="A16" s="49" t="s">
        <v>29</v>
      </c>
      <c r="B16" s="50">
        <f>'Cost Breakdown'!$B$2</f>
        <v>100</v>
      </c>
      <c r="C16" s="51">
        <f>'Cost Breakdown'!$B$2</f>
        <v>100</v>
      </c>
      <c r="D16" s="50">
        <f>'Cost Breakdown'!$B$2</f>
        <v>100</v>
      </c>
      <c r="E16" s="50">
        <f>'Cost Breakdown'!$B$2</f>
        <v>100</v>
      </c>
      <c r="F16" s="50">
        <f>'Cost Breakdown'!$B$2</f>
        <v>100</v>
      </c>
      <c r="G16" s="50">
        <f>'Cost Breakdown'!$B$2</f>
        <v>100</v>
      </c>
      <c r="H16" s="50">
        <f>'Cost Breakdown'!$B$2</f>
        <v>100</v>
      </c>
    </row>
    <row r="17" ht="19.5" customHeight="1">
      <c r="A17" s="52" t="s">
        <v>30</v>
      </c>
      <c r="B17" s="53">
        <f t="shared" ref="B17:H17" si="5">B2/B16</f>
        <v>14.55815985</v>
      </c>
      <c r="C17" s="54">
        <f t="shared" si="5"/>
        <v>20</v>
      </c>
      <c r="D17" s="53">
        <f t="shared" si="5"/>
        <v>25</v>
      </c>
      <c r="E17" s="53">
        <f t="shared" si="5"/>
        <v>30</v>
      </c>
      <c r="F17" s="53">
        <f t="shared" si="5"/>
        <v>35</v>
      </c>
      <c r="G17" s="53">
        <f t="shared" si="5"/>
        <v>40</v>
      </c>
      <c r="H17" s="53">
        <f t="shared" si="5"/>
        <v>50</v>
      </c>
    </row>
    <row r="18" ht="12.0" customHeight="1">
      <c r="A18" s="55"/>
      <c r="B18" s="56"/>
      <c r="C18" s="57"/>
      <c r="D18" s="56"/>
      <c r="E18" s="56"/>
      <c r="F18" s="56"/>
      <c r="G18" s="56"/>
      <c r="H18" s="56"/>
    </row>
    <row r="19" ht="27.0" customHeight="1">
      <c r="A19" s="58" t="s">
        <v>31</v>
      </c>
      <c r="B19" s="59">
        <f t="shared" ref="B19:H19" si="6">B16/B12</f>
        <v>68.69</v>
      </c>
      <c r="C19" s="60">
        <f t="shared" si="6"/>
        <v>50</v>
      </c>
      <c r="D19" s="61">
        <f t="shared" si="6"/>
        <v>40</v>
      </c>
      <c r="E19" s="61">
        <f t="shared" si="6"/>
        <v>33.33333333</v>
      </c>
      <c r="F19" s="61">
        <f t="shared" si="6"/>
        <v>28.57142857</v>
      </c>
      <c r="G19" s="61">
        <f t="shared" si="6"/>
        <v>25</v>
      </c>
      <c r="H19" s="61">
        <f t="shared" si="6"/>
        <v>20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