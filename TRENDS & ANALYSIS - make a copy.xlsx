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<sst xmlns="http://schemas.openxmlformats.org/spreadsheetml/2006/main" count="62" uniqueCount="28">
  <si>
    <t>Previous</t>
  </si>
  <si>
    <t>Current</t>
  </si>
  <si>
    <t>Start</t>
  </si>
  <si>
    <t>End</t>
  </si>
  <si>
    <t>Difference</t>
  </si>
  <si>
    <t>Increased</t>
  </si>
  <si>
    <t>Decreased</t>
  </si>
  <si>
    <t>Meta</t>
  </si>
  <si>
    <t>Meta Spend</t>
  </si>
  <si>
    <t>Impressions</t>
  </si>
  <si>
    <t>Green</t>
  </si>
  <si>
    <t>Red</t>
  </si>
  <si>
    <t>Link clicks</t>
  </si>
  <si>
    <t>Landing page views</t>
  </si>
  <si>
    <t>Website adds to cart</t>
  </si>
  <si>
    <t>Website purchases</t>
  </si>
  <si>
    <t>Revenue</t>
  </si>
  <si>
    <t>CPM</t>
  </si>
  <si>
    <t>CTR</t>
  </si>
  <si>
    <t>CPC</t>
  </si>
  <si>
    <t>Bounce Rate</t>
  </si>
  <si>
    <t>ATC %</t>
  </si>
  <si>
    <t>CPATC</t>
  </si>
  <si>
    <t>ATC&gt;Purchase%</t>
  </si>
  <si>
    <t>CVR</t>
  </si>
  <si>
    <t>CPA</t>
  </si>
  <si>
    <t>AOV</t>
  </si>
  <si>
    <t>ROAS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</si>
</sst>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 &quot;day(s)&quot;"/>
    <numFmt numFmtId="165" formatCode="M/d/yyyy"/>
    <numFmt numFmtId="166" formatCode="&quot;$&quot;#,##0.00"/>
  </numFmts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rgb="FFFFFFFF"/>
      <name val="Arial"/>
    </font>
    <font>
      <color rgb="FF38761D"/>
      <name val="Arial"/>
    </font>
    <font>
      <color rgb="FFFF0000"/>
      <name val="Arial"/>
    </font>
    <font>
      <b/>
      <sz val="14.0"/>
      <color theme="1"/>
      <name val="Arial"/>
    </font>
    <font>
      <sz val="14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73763"/>
        <bgColor rgb="FF073763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vertical="bottom"/>
    </xf>
    <xf borderId="0" fillId="2" fontId="1" numFmtId="165" xfId="0" applyAlignment="1" applyFill="1" applyFont="1" applyNumberFormat="1">
      <alignment horizontal="center" vertical="bottom"/>
    </xf>
    <xf borderId="0" fillId="0" fontId="2" numFmtId="10" xfId="0" applyAlignment="1" applyFont="1" applyNumberFormat="1">
      <alignment horizontal="center" vertical="bottom"/>
    </xf>
    <xf borderId="0" fillId="3" fontId="3" numFmtId="166" xfId="0" applyAlignment="1" applyFill="1" applyFont="1" applyNumberFormat="1">
      <alignment vertical="bottom"/>
    </xf>
    <xf borderId="0" fillId="3" fontId="1" numFmtId="166" xfId="0" applyAlignment="1" applyFill="1" applyFont="1" applyNumberFormat="1">
      <alignment vertical="bottom"/>
    </xf>
    <xf borderId="0" fillId="3" fontId="1" numFmtId="0" xfId="0" applyAlignment="1" applyFill="1" applyFont="1">
      <alignment vertical="bottom"/>
    </xf>
    <xf borderId="0" fillId="3" fontId="1" numFmtId="10" xfId="0" applyAlignment="1" applyFill="1" applyFont="1" applyNumberFormat="1">
      <alignment vertical="bottom"/>
    </xf>
    <xf borderId="0" fillId="4" fontId="2" numFmtId="166" xfId="0" applyAlignment="1" applyFill="1" applyFont="1" applyNumberFormat="1">
      <alignment vertical="bottom"/>
    </xf>
    <xf borderId="0" fillId="4" fontId="1" numFmtId="166" xfId="0" applyAlignment="1" applyFill="1" applyFont="1" applyNumberFormat="1">
      <alignment horizontal="center" vertical="bottom"/>
    </xf>
    <xf borderId="0" fillId="4" fontId="1" numFmtId="0" xfId="0" applyAlignment="1" applyFill="1" applyFont="1">
      <alignment vertical="bottom"/>
    </xf>
    <xf borderId="0" fillId="4" fontId="4" numFmtId="10" xfId="0" applyAlignment="1" applyFill="1" applyFont="1" applyNumberFormat="1">
      <alignment horizontal="center" vertical="bottom"/>
    </xf>
    <xf borderId="0" fillId="4" fontId="1" numFmtId="3" xfId="0" applyAlignment="1" applyFill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4" fontId="5" numFmtId="10" xfId="0" applyAlignment="1" applyFill="1" applyFont="1" applyNumberFormat="1">
      <alignment horizontal="center" vertical="bottom"/>
    </xf>
    <xf borderId="0" fillId="0" fontId="2" numFmtId="166" xfId="0" applyAlignment="1" applyFont="1" applyNumberFormat="1">
      <alignment vertical="bottom"/>
    </xf>
    <xf borderId="0" fillId="0" fontId="1" numFmtId="166" xfId="0" applyAlignment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5" numFmtId="10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1" numFmtId="10" xfId="0" applyAlignment="1" applyFont="1" applyNumberFormat="1">
      <alignment horizontal="center" vertical="bottom"/>
    </xf>
    <xf borderId="0" fillId="0" fontId="4" numFmtId="10" xfId="0" applyAlignment="1" applyFont="1" applyNumberFormat="1">
      <alignment horizontal="center" vertical="bottom"/>
    </xf>
    <xf borderId="0" fillId="0" fontId="6" numFmtId="0" xfId="0" applyAlignment="1" applyFont="1">
      <alignment vertical="bottom"/>
    </xf>
    <xf borderId="0" fillId="0" fontId="6" numFmtId="4" xfId="0" applyAlignment="1" applyFont="1" applyNumberFormat="1">
      <alignment horizontal="center" vertical="bottom"/>
    </xf>
    <xf borderId="0" fillId="0" fontId="1" numFmtId="4" xfId="0" applyAlignment="1" applyFont="1" applyNumberFormat="1">
      <alignment vertical="bottom"/>
    </xf>
    <xf borderId="0" fillId="0" fontId="7" numFmtId="10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>
        <f>C3-B3+1</f>
        <v>1</v>
      </c>
      <c r="D1" s="2" t="s">
        <v>1</v>
      </c>
      <c r="E1" s="3">
        <f>E3-D3+1</f>
        <v>1</v>
      </c>
      <c r="F1" s="4"/>
      <c r="G1" s="1"/>
      <c r="H1" s="1"/>
    </row>
    <row r="2">
      <c r="A2" s="1"/>
      <c r="B2" s="2" t="s">
        <v>2</v>
      </c>
      <c r="C2" s="1" t="s">
        <v>3</v>
      </c>
      <c r="D2" s="2" t="s">
        <v>2</v>
      </c>
      <c r="E2" s="1" t="s">
        <v>3</v>
      </c>
      <c r="F2" s="4"/>
      <c r="G2" s="1"/>
      <c r="H2" s="1"/>
    </row>
    <row r="3">
      <c r="A3" s="1"/>
      <c r="B3" s="5">
        <v>45791.0</v>
      </c>
      <c r="C3" s="5">
        <v>45791.0</v>
      </c>
      <c r="D3" s="5">
        <v>45792.0</v>
      </c>
      <c r="E3" s="5">
        <v>45792.0</v>
      </c>
      <c r="F3" s="6" t="s">
        <v>4</v>
      </c>
      <c r="G3" s="2" t="s">
        <v>5</v>
      </c>
      <c r="H3" s="2" t="s">
        <v>6</v>
      </c>
    </row>
    <row r="4">
      <c r="A4" s="7" t="s">
        <v>7</v>
      </c>
      <c r="B4" s="8"/>
      <c r="C4" s="9"/>
      <c r="D4" s="8"/>
      <c r="E4" s="9"/>
      <c r="F4" s="10"/>
      <c r="G4" s="1"/>
      <c r="H4" s="1"/>
    </row>
    <row r="5">
      <c r="A5" s="11" t="s">
        <v>8</v>
      </c>
      <c r="B5" s="12">
        <v>1177.43</v>
      </c>
      <c r="C5" s="13"/>
      <c r="D5" s="12">
        <v>1122.23</v>
      </c>
      <c r="E5" s="13"/>
      <c r="F5" s="14">
        <f t="shared" ref="F5:F11" si="1">iferror((D5-B5)/B5,"")</f>
        <v>-0.04688176792</v>
      </c>
      <c r="G5" s="1"/>
      <c r="H5" s="1"/>
    </row>
    <row r="6">
      <c r="A6" s="13" t="s">
        <v>9</v>
      </c>
      <c r="B6" s="15">
        <v>76084.0</v>
      </c>
      <c r="C6" s="13"/>
      <c r="D6" s="15">
        <v>68741.0</v>
      </c>
      <c r="E6" s="13"/>
      <c r="F6" s="14">
        <f t="shared" si="1"/>
        <v>-0.09651175017</v>
      </c>
      <c r="G6" s="16" t="s">
        <v>10</v>
      </c>
      <c r="H6" s="16" t="s">
        <v>11</v>
      </c>
    </row>
    <row r="7">
      <c r="A7" s="13" t="s">
        <v>12</v>
      </c>
      <c r="B7" s="15">
        <v>1974.0</v>
      </c>
      <c r="C7" s="13"/>
      <c r="D7" s="15">
        <v>1686.0</v>
      </c>
      <c r="E7" s="13"/>
      <c r="F7" s="17">
        <f t="shared" si="1"/>
        <v>-0.1458966565</v>
      </c>
      <c r="G7" s="16" t="s">
        <v>10</v>
      </c>
      <c r="H7" s="16" t="s">
        <v>11</v>
      </c>
    </row>
    <row r="8">
      <c r="A8" s="13" t="s">
        <v>13</v>
      </c>
      <c r="B8" s="15">
        <v>1619.0</v>
      </c>
      <c r="C8" s="13"/>
      <c r="D8" s="15">
        <v>1304.0</v>
      </c>
      <c r="E8" s="13"/>
      <c r="F8" s="17">
        <f t="shared" si="1"/>
        <v>-0.194564546</v>
      </c>
      <c r="G8" s="16" t="s">
        <v>10</v>
      </c>
      <c r="H8" s="16" t="s">
        <v>11</v>
      </c>
    </row>
    <row r="9">
      <c r="A9" s="13" t="s">
        <v>14</v>
      </c>
      <c r="B9" s="15">
        <v>9.0</v>
      </c>
      <c r="C9" s="13"/>
      <c r="D9" s="15">
        <v>8.0</v>
      </c>
      <c r="E9" s="13"/>
      <c r="F9" s="17">
        <f t="shared" si="1"/>
        <v>-0.1111111111</v>
      </c>
      <c r="G9" s="16" t="s">
        <v>10</v>
      </c>
      <c r="H9" s="16" t="s">
        <v>11</v>
      </c>
    </row>
    <row r="10">
      <c r="A10" s="13" t="s">
        <v>15</v>
      </c>
      <c r="B10" s="15">
        <v>30.0</v>
      </c>
      <c r="C10" s="13"/>
      <c r="D10" s="15">
        <v>15.0</v>
      </c>
      <c r="E10" s="13"/>
      <c r="F10" s="17">
        <f t="shared" si="1"/>
        <v>-0.5</v>
      </c>
      <c r="G10" s="16" t="s">
        <v>10</v>
      </c>
      <c r="H10" s="16" t="s">
        <v>11</v>
      </c>
    </row>
    <row r="11">
      <c r="A11" s="11" t="s">
        <v>16</v>
      </c>
      <c r="B11" s="12">
        <v>3241.99</v>
      </c>
      <c r="C11" s="13"/>
      <c r="D11" s="12">
        <v>1747.76</v>
      </c>
      <c r="E11" s="13"/>
      <c r="F11" s="17">
        <f t="shared" si="1"/>
        <v>-0.4608990157</v>
      </c>
      <c r="G11" s="16" t="s">
        <v>10</v>
      </c>
      <c r="H11" s="16" t="s">
        <v>11</v>
      </c>
    </row>
    <row r="12">
      <c r="A12" s="1"/>
      <c r="B12" s="1"/>
      <c r="C12" s="1"/>
      <c r="D12" s="1"/>
      <c r="E12" s="1"/>
      <c r="F12" s="4"/>
      <c r="G12" s="1"/>
      <c r="H12" s="1"/>
    </row>
    <row r="13">
      <c r="A13" s="18" t="s">
        <v>17</v>
      </c>
      <c r="B13" s="19">
        <f>iferror(B5/B6*1000,"")</f>
        <v>15.47539562</v>
      </c>
      <c r="C13" s="20"/>
      <c r="D13" s="19">
        <f>iferror(D5/D6*1000,"")</f>
        <v>16.32548261</v>
      </c>
      <c r="E13" s="20"/>
      <c r="F13" s="21">
        <f t="shared" ref="F13:F23" si="2">iferror((D13-B13)/B13,"")</f>
        <v>0.05493151932</v>
      </c>
      <c r="G13" s="16" t="s">
        <v>11</v>
      </c>
      <c r="H13" s="16" t="s">
        <v>10</v>
      </c>
    </row>
    <row r="14">
      <c r="A14" s="22" t="s">
        <v>18</v>
      </c>
      <c r="B14" s="23">
        <f>iferror(B7/B6,"")</f>
        <v>0.02594500815</v>
      </c>
      <c r="C14" s="4"/>
      <c r="D14" s="23">
        <f>iferror(D7/D6,"")</f>
        <v>0.02452684715</v>
      </c>
      <c r="E14" s="1"/>
      <c r="F14" s="21">
        <f t="shared" si="2"/>
        <v>-0.05466026412</v>
      </c>
      <c r="G14" s="16" t="s">
        <v>10</v>
      </c>
      <c r="H14" s="16" t="s">
        <v>11</v>
      </c>
    </row>
    <row r="15">
      <c r="A15" s="18" t="s">
        <v>19</v>
      </c>
      <c r="B15" s="19">
        <f>iferror(B5/B7,"")</f>
        <v>0.5964690983</v>
      </c>
      <c r="C15" s="20"/>
      <c r="D15" s="19">
        <f>iferror(D5/D7,"")</f>
        <v>0.6656168446</v>
      </c>
      <c r="E15" s="20"/>
      <c r="F15" s="21">
        <f t="shared" si="2"/>
        <v>0.1159284639</v>
      </c>
      <c r="G15" s="16" t="s">
        <v>11</v>
      </c>
      <c r="H15" s="16" t="s">
        <v>10</v>
      </c>
    </row>
    <row r="16">
      <c r="A16" s="22" t="s">
        <v>20</v>
      </c>
      <c r="B16" s="23">
        <f>iferror(1-(B8/B7),"")</f>
        <v>0.1798378926</v>
      </c>
      <c r="C16" s="4"/>
      <c r="D16" s="23">
        <f>iferror(1-(D8/D7),"")</f>
        <v>0.2265717675</v>
      </c>
      <c r="E16" s="1"/>
      <c r="F16" s="21">
        <f t="shared" si="2"/>
        <v>0.2598666733</v>
      </c>
      <c r="G16" s="16" t="s">
        <v>11</v>
      </c>
      <c r="H16" s="16" t="s">
        <v>10</v>
      </c>
    </row>
    <row r="17">
      <c r="A17" s="22" t="s">
        <v>21</v>
      </c>
      <c r="B17" s="23">
        <f>iferror(B9/B8,"")</f>
        <v>0.005558987029</v>
      </c>
      <c r="C17" s="4"/>
      <c r="D17" s="23">
        <f>iferror(D9/D8,"")</f>
        <v>0.006134969325</v>
      </c>
      <c r="E17" s="1"/>
      <c r="F17" s="21">
        <f t="shared" si="2"/>
        <v>0.1036128153</v>
      </c>
      <c r="G17" s="16" t="s">
        <v>10</v>
      </c>
      <c r="H17" s="16" t="s">
        <v>11</v>
      </c>
    </row>
    <row r="18">
      <c r="A18" s="18" t="s">
        <v>22</v>
      </c>
      <c r="B18" s="19">
        <f>iferror(B5/B9,"")</f>
        <v>130.8255556</v>
      </c>
      <c r="C18" s="20"/>
      <c r="D18" s="19">
        <f>iferror(D5/D9,"")</f>
        <v>140.27875</v>
      </c>
      <c r="E18" s="20"/>
      <c r="F18" s="24">
        <f t="shared" si="2"/>
        <v>0.07225801109</v>
      </c>
      <c r="G18" s="16" t="s">
        <v>11</v>
      </c>
      <c r="H18" s="16" t="s">
        <v>10</v>
      </c>
    </row>
    <row r="19">
      <c r="A19" s="22" t="s">
        <v>23</v>
      </c>
      <c r="B19" s="23">
        <f>iferror(B10/B9,"")</f>
        <v>3.333333333</v>
      </c>
      <c r="C19" s="4"/>
      <c r="D19" s="23">
        <f>iferror(D10/D9,"")</f>
        <v>1.875</v>
      </c>
      <c r="E19" s="1"/>
      <c r="F19" s="24">
        <f t="shared" si="2"/>
        <v>-0.4375</v>
      </c>
      <c r="G19" s="16" t="s">
        <v>10</v>
      </c>
      <c r="H19" s="16" t="s">
        <v>11</v>
      </c>
    </row>
    <row r="20">
      <c r="A20" s="22" t="s">
        <v>24</v>
      </c>
      <c r="B20" s="23">
        <f>iferror(B10/B7,"")</f>
        <v>0.01519756839</v>
      </c>
      <c r="C20" s="4"/>
      <c r="D20" s="23">
        <f>iferror(D10/D7,"")</f>
        <v>0.008896797153</v>
      </c>
      <c r="E20" s="1"/>
      <c r="F20" s="21">
        <f t="shared" si="2"/>
        <v>-0.4145907473</v>
      </c>
      <c r="G20" s="16" t="s">
        <v>10</v>
      </c>
      <c r="H20" s="16" t="s">
        <v>11</v>
      </c>
    </row>
    <row r="21">
      <c r="A21" s="18" t="s">
        <v>25</v>
      </c>
      <c r="B21" s="19">
        <f>iferror(B5/B10,"")</f>
        <v>39.24766667</v>
      </c>
      <c r="C21" s="20"/>
      <c r="D21" s="19">
        <f>iferror(D5/D10,"")</f>
        <v>74.81533333</v>
      </c>
      <c r="E21" s="20"/>
      <c r="F21" s="21">
        <f t="shared" si="2"/>
        <v>0.9062364642</v>
      </c>
      <c r="G21" s="16" t="s">
        <v>11</v>
      </c>
      <c r="H21" s="16" t="s">
        <v>10</v>
      </c>
    </row>
    <row r="22">
      <c r="A22" s="18" t="s">
        <v>26</v>
      </c>
      <c r="B22" s="19">
        <f>iferror(B11/B10,"")</f>
        <v>108.0663333</v>
      </c>
      <c r="C22" s="20"/>
      <c r="D22" s="19">
        <f>iferror(D11/D10,"")</f>
        <v>116.5173333</v>
      </c>
      <c r="E22" s="20"/>
      <c r="F22" s="24">
        <f t="shared" si="2"/>
        <v>0.07820196854</v>
      </c>
      <c r="G22" s="16" t="s">
        <v>10</v>
      </c>
      <c r="H22" s="16" t="s">
        <v>11</v>
      </c>
    </row>
    <row r="23">
      <c r="A23" s="25" t="s">
        <v>27</v>
      </c>
      <c r="B23" s="26">
        <f>iferror(B11/B5,"")</f>
        <v>2.753446065</v>
      </c>
      <c r="C23" s="27"/>
      <c r="D23" s="26">
        <f>iferror(D11/D5,"")</f>
        <v>1.557399107</v>
      </c>
      <c r="E23" s="1"/>
      <c r="F23" s="28">
        <f t="shared" si="2"/>
        <v>-0.4343818362</v>
      </c>
      <c r="G23" s="16" t="s">
        <v>10</v>
      </c>
      <c r="H23" s="16" t="s">
        <v>11</v>
      </c>
    </row>
  </sheetData>
  <drawing r:id="rId1"/>
</worksheet>
</file>